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imot\Documents\DataAnalytics\week-01\"/>
    </mc:Choice>
  </mc:AlternateContent>
  <xr:revisionPtr revIDLastSave="0" documentId="13_ncr:1_{F6E3479D-B2E4-40DE-9ECB-F4A3AE09D904}" xr6:coauthVersionLast="47" xr6:coauthVersionMax="47" xr10:uidLastSave="{00000000-0000-0000-0000-000000000000}"/>
  <bookViews>
    <workbookView xWindow="-38520" yWindow="-90" windowWidth="38640" windowHeight="21240" xr2:uid="{00000000-000D-0000-FFFF-FFFF00000000}"/>
  </bookViews>
  <sheets>
    <sheet name="Sheet2" sheetId="2" r:id="rId1"/>
    <sheet name="Sheet1" sheetId="1" r:id="rId2"/>
  </sheets>
  <calcPr calcId="191028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 a="1"/>
  <c r="J9" i="1" s="1"/>
  <c r="K9" i="1" a="1"/>
  <c r="K9" i="1" s="1"/>
  <c r="I9" i="1" a="1"/>
  <c r="I9" i="1" s="1"/>
  <c r="H9" i="1"/>
  <c r="G9" i="1"/>
  <c r="D9" i="1"/>
  <c r="D2" i="1"/>
  <c r="D3" i="1"/>
  <c r="D4" i="1"/>
  <c r="D5" i="1"/>
  <c r="D6" i="1"/>
  <c r="D7" i="1"/>
  <c r="D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<sst xmlns="http://schemas.openxmlformats.org/spreadsheetml/2006/main" count="76" uniqueCount="32">
  <si>
    <t>Id</t>
  </si>
  <si>
    <t>Start time</t>
  </si>
  <si>
    <t>Completion time</t>
  </si>
  <si>
    <t>Email</t>
  </si>
  <si>
    <t>Name</t>
  </si>
  <si>
    <t>How often do you visit the cafe?</t>
  </si>
  <si>
    <t>What is your main reason for visiting this cafe?</t>
  </si>
  <si>
    <t>How satisfied are you with your experience here?</t>
  </si>
  <si>
    <t>How satisfied are you with the drink quality?</t>
  </si>
  <si>
    <t>How satisfied are you with the menu?</t>
  </si>
  <si>
    <t>What is one area you would want us to improve?</t>
  </si>
  <si>
    <t>What type of rewards would you like to see with a membership?</t>
  </si>
  <si>
    <t>anonymous</t>
  </si>
  <si>
    <t>Few times a week</t>
  </si>
  <si>
    <t>Drinks</t>
  </si>
  <si>
    <t>Very satisfied</t>
  </si>
  <si>
    <t>Satisfied</t>
  </si>
  <si>
    <t>Wait times</t>
  </si>
  <si>
    <t>Special promotions</t>
  </si>
  <si>
    <t>Occasionally/First time</t>
  </si>
  <si>
    <t>Quality</t>
  </si>
  <si>
    <t>Points depending on spendings</t>
  </si>
  <si>
    <t>Pricing</t>
  </si>
  <si>
    <t>Daily</t>
  </si>
  <si>
    <t>i like stuff</t>
  </si>
  <si>
    <t>Weekly item bogo</t>
  </si>
  <si>
    <t>Atmosphere</t>
  </si>
  <si>
    <t>Once a week</t>
  </si>
  <si>
    <t>Time to complete</t>
  </si>
  <si>
    <t>Row Labels</t>
  </si>
  <si>
    <t>Grand Total</t>
  </si>
  <si>
    <t>Count of How often do you visit the cafe?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</si>
</sst>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applyNumberFormat="1"/>
    <xf numFmtId="45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28" formatCode="mm:ss"/>
    </dxf>
    <dxf>
      <numFmt numFmtId="27" formatCode="m/d/yyyy\ h:mm"/>
    </dxf>
    <dxf>
      <numFmt numFmtId="27" formatCode="m/d/yyyy\ h:mm"/>
    </dxf>
    <dxf>
      <numFmt numFmtId="0" formatCode="General"/>
    </dxf>
    <dxf>
      <numFmt numFmtId="28" formatCode="mm:ss"/>
    </dxf>
    <dxf>
      <numFmt numFmtId="27" formatCode="m/d/yyyy\ h:mm"/>
    </dxf>
    <dxf>
      <numFmt numFmtId="27" formatCode="m/d/yyyy\ h:mm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[DaBean Cafe Survey.xlsx]Sheet2!PivotTable1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Daily</c:v>
                </c:pt>
                <c:pt idx="1">
                  <c:v>Few times a week</c:v>
                </c:pt>
                <c:pt idx="2">
                  <c:v>Occasionally/First time</c:v>
                </c:pt>
                <c:pt idx="3">
                  <c:v>Once a week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D-4C48-AA6E-2E6D07EADD9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2</xdr:row>
      <xdr:rowOff>33337</xdr:rowOff>
    </xdr:from>
    <xdr:to>
      <xdr:col>4</xdr:col>
      <xdr:colOff>581025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B0EDD-7AD7-A526-1D65-1D251FA09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my Yip" refreshedDate="46321.985493402775" createdVersion="8" refreshedVersion="8" minRefreshableVersion="3" recordCount="7" xr:uid="{08E4C58C-1300-4343-AD8D-257FC1E955EA}">
  <cacheSource type="worksheet">
    <worksheetSource name="OfficeForms.Table"/>
  </cacheSource>
  <cacheFields count="13">
    <cacheField name="Id" numFmtId="0">
      <sharedItems containsSemiMixedTypes="0" containsString="0" containsNumber="1" containsInteger="1" minValue="1" maxValue="7"/>
    </cacheField>
    <cacheField name="Start time" numFmtId="22">
      <sharedItems containsSemiMixedTypes="0" containsNonDate="0" containsDate="1" containsString="0" minDate="2026-10-19T10:41:29" maxDate="2026-10-19T13:13:31"/>
    </cacheField>
    <cacheField name="Completion time" numFmtId="22">
      <sharedItems containsSemiMixedTypes="0" containsNonDate="0" containsDate="1" containsString="0" minDate="2026-10-19T10:41:56" maxDate="2026-10-19T13:13:54"/>
    </cacheField>
    <cacheField name="Time to complete" numFmtId="45">
      <sharedItems containsSemiMixedTypes="0" containsNonDate="0" containsDate="1" containsString="0" minDate="1899-12-30T00:00:20" maxDate="1899-12-30T00:01:02"/>
    </cacheField>
    <cacheField name="Email" numFmtId="0">
      <sharedItems count="1">
        <s v="anonymous"/>
      </sharedItems>
    </cacheField>
    <cacheField name="Name" numFmtId="0">
      <sharedItems containsNonDate="0" containsString="0" containsBlank="1" count="1">
        <m/>
      </sharedItems>
    </cacheField>
    <cacheField name="How often do you visit the cafe?" numFmtId="0">
      <sharedItems count="4">
        <s v="Few times a week"/>
        <s v="Occasionally/First time"/>
        <s v="Daily"/>
        <s v="Once a week"/>
      </sharedItems>
    </cacheField>
    <cacheField name="What is your main reason for visiting this cafe?" numFmtId="0">
      <sharedItems count="3">
        <s v="Drinks"/>
        <s v="i like stuff"/>
        <s v="Atmosphere"/>
      </sharedItems>
    </cacheField>
    <cacheField name="How satisfied are you with your experience here?" numFmtId="0">
      <sharedItems/>
    </cacheField>
    <cacheField name="How satisfied are you with the drink quality?" numFmtId="0">
      <sharedItems count="2">
        <s v="Satisfied"/>
        <s v="Very satisfied"/>
      </sharedItems>
    </cacheField>
    <cacheField name="How satisfied are you with the menu?" numFmtId="0">
      <sharedItems/>
    </cacheField>
    <cacheField name="What is one area you would want us to improve?" numFmtId="0">
      <sharedItems/>
    </cacheField>
    <cacheField name="What type of rewards would you like to see with a membership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d v="2026-10-19T10:41:29"/>
    <d v="2026-10-19T10:41:56"/>
    <d v="1899-12-30T00:00:27"/>
    <x v="0"/>
    <x v="0"/>
    <x v="0"/>
    <x v="0"/>
    <s v="Very satisfied"/>
    <x v="0"/>
    <s v="Very satisfied"/>
    <s v="Wait times"/>
    <s v="Special promotions"/>
  </r>
  <r>
    <n v="2"/>
    <d v="2026-10-19T10:44:58"/>
    <d v="2026-10-19T10:45:47"/>
    <d v="1899-12-30T00:00:49"/>
    <x v="0"/>
    <x v="0"/>
    <x v="1"/>
    <x v="0"/>
    <s v="Satisfied"/>
    <x v="0"/>
    <s v="Satisfied"/>
    <s v="Quality"/>
    <s v="Points depending on spendings"/>
  </r>
  <r>
    <n v="3"/>
    <d v="2026-10-19T11:02:12"/>
    <d v="2026-10-19T11:02:32"/>
    <d v="1899-12-30T00:00:20"/>
    <x v="0"/>
    <x v="0"/>
    <x v="0"/>
    <x v="0"/>
    <s v="Satisfied"/>
    <x v="0"/>
    <s v="Satisfied"/>
    <s v="Pricing"/>
    <s v="Special promotions"/>
  </r>
  <r>
    <n v="4"/>
    <d v="2026-10-19T11:02:11"/>
    <d v="2026-10-19T11:02:32"/>
    <d v="1899-12-30T00:00:21"/>
    <x v="0"/>
    <x v="0"/>
    <x v="2"/>
    <x v="1"/>
    <s v="Very satisfied"/>
    <x v="1"/>
    <s v="Very satisfied"/>
    <s v="Quality"/>
    <s v="Weekly item bogo"/>
  </r>
  <r>
    <n v="5"/>
    <d v="2026-10-19T11:11:13"/>
    <d v="2026-10-19T11:11:37"/>
    <d v="1899-12-30T00:00:24"/>
    <x v="0"/>
    <x v="0"/>
    <x v="2"/>
    <x v="0"/>
    <s v="Very satisfied"/>
    <x v="1"/>
    <s v="Very satisfied"/>
    <s v="Wait times"/>
    <s v="Special promotions"/>
  </r>
  <r>
    <n v="6"/>
    <d v="2026-10-19T12:22:55"/>
    <d v="2026-10-19T12:23:57"/>
    <d v="1899-12-30T00:01:02"/>
    <x v="0"/>
    <x v="0"/>
    <x v="0"/>
    <x v="2"/>
    <s v="Very satisfied"/>
    <x v="0"/>
    <s v="Satisfied"/>
    <s v="Pricing"/>
    <s v="Weekly item bogo"/>
  </r>
  <r>
    <n v="7"/>
    <d v="2026-10-19T13:13:31"/>
    <d v="2026-10-19T13:13:54"/>
    <d v="1899-12-30T00:00:23"/>
    <x v="0"/>
    <x v="0"/>
    <x v="3"/>
    <x v="0"/>
    <s v="Satisfied"/>
    <x v="0"/>
    <s v="Satisfied"/>
    <s v="Pricing"/>
    <s v="Points depending on spending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7678F-55F1-4E7F-996D-FB6E4F777B9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3">
    <pivotField showAll="0"/>
    <pivotField numFmtId="22" showAll="0"/>
    <pivotField numFmtId="22" showAll="0"/>
    <pivotField numFmtId="45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dataField="1" showAll="0">
      <items count="5">
        <item x="2"/>
        <item x="0"/>
        <item x="1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How often do you visit the cafe?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9" totalsRowCount="1">
  <autoFilter ref="A1:M8" xr:uid="{00000000-0009-0000-0100-000001000000}"/>
  <tableColumns count="13">
    <tableColumn id="1" xr3:uid="{00000000-0010-0000-0000-000001000000}" name="Id" dataDxfId="16" totalsRow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5" totalsRowDxfId="11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4" totalsRowDxfId="10">
      <extLst>
        <ext xmlns:xlmsforms="http://schemas.microsoft.com/office/spreadsheetml/2023/msForms" uri="{FCC71383-01E1-4257-9335-427F07BE8D7F}">
          <xlmsforms:question id="submitDate"/>
        </ext>
      </extLst>
    </tableColumn>
    <tableColumn id="13" xr3:uid="{430DC40C-CDC7-4F10-A2F3-06AF992B3B80}" name="Time to complete" totalsRowFunction="custom" dataDxfId="13" totalsRowDxfId="9">
      <calculatedColumnFormula>C2-B2</calculatedColumnFormula>
      <totalsRowFormula>AVERAGE(D2:D8)</totalsRowFormula>
    </tableColumn>
    <tableColumn id="4" xr3:uid="{00000000-0010-0000-0000-000004000000}" name="Email" dataDxfId="25" totalsRowDxfId="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4" totalsRowDxfId="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the cafe?" totalsRowFunction="custom" dataDxfId="23" totalsRowDxfId="6">
      <totalsRowFormula>COUNTIF(G2:G8, "Daily")</totalsRowFormula>
      <extLst>
        <ext xmlns:xlmsforms="http://schemas.microsoft.com/office/spreadsheetml/2023/msForms" uri="{FCC71383-01E1-4257-9335-427F07BE8D7F}">
          <xlmsforms:question id="r238366a8c0184e7db2c83adc7ec32a33"/>
        </ext>
      </extLst>
    </tableColumn>
    <tableColumn id="7" xr3:uid="{00000000-0010-0000-0000-000007000000}" name="What is your main reason for visiting this cafe?" totalsRowFunction="custom" dataDxfId="22" totalsRowDxfId="5">
      <totalsRowFormula>COUNTIF(H2:H8, "Drinks")</totalsRowFormula>
      <extLst>
        <ext xmlns:xlmsforms="http://schemas.microsoft.com/office/spreadsheetml/2023/msForms" uri="{FCC71383-01E1-4257-9335-427F07BE8D7F}">
          <xlmsforms:question id="r4b8a7acbe2444138be335f8021b44c45"/>
        </ext>
      </extLst>
    </tableColumn>
    <tableColumn id="8" xr3:uid="{00000000-0010-0000-0000-000008000000}" name="How satisfied are you with your experience here?" totalsRowFunction="custom" dataDxfId="21" totalsRowDxfId="4">
      <totalsRowFormula array="1">AVERAGE(_xlfn.SWITCH(OfficeForms.Table[How satisfied are you with your experience here?], "Very satisfied", 4, "Satisfied", 3))</totalsRowFormula>
      <extLst>
        <ext xmlns:xlmsforms="http://schemas.microsoft.com/office/spreadsheetml/2023/msForms" uri="{FCC71383-01E1-4257-9335-427F07BE8D7F}">
          <xlmsforms:question id="r1f8e9e3e08884b20991bfd27c0928341"/>
        </ext>
      </extLst>
    </tableColumn>
    <tableColumn id="9" xr3:uid="{00000000-0010-0000-0000-000009000000}" name="How satisfied are you with the drink quality?" totalsRowFunction="custom" dataDxfId="20" totalsRowDxfId="3">
      <totalsRowFormula array="1">AVERAGE(_xlfn.SWITCH(OfficeForms.Table[How satisfied are you with the drink quality?], "Very satisfied", 4, "Satisfied", 3))</totalsRowFormula>
      <extLst>
        <ext xmlns:xlmsforms="http://schemas.microsoft.com/office/spreadsheetml/2023/msForms" uri="{FCC71383-01E1-4257-9335-427F07BE8D7F}">
          <xlmsforms:question id="r82a668a580134353848fcd2110f2043c"/>
        </ext>
      </extLst>
    </tableColumn>
    <tableColumn id="10" xr3:uid="{00000000-0010-0000-0000-00000A000000}" name="How satisfied are you with the menu?" totalsRowFunction="custom" dataDxfId="19" totalsRowDxfId="2">
      <totalsRowFormula array="1">AVERAGE(_xlfn.SWITCH(OfficeForms.Table[How satisfied are you with the menu?], "Very satisfied", 4, "Satisfied", 3))</totalsRowFormula>
      <extLst>
        <ext xmlns:xlmsforms="http://schemas.microsoft.com/office/spreadsheetml/2023/msForms" uri="{FCC71383-01E1-4257-9335-427F07BE8D7F}">
          <xlmsforms:question id="r1f646248c1ad4bb7b18fede90d080c4c"/>
        </ext>
      </extLst>
    </tableColumn>
    <tableColumn id="11" xr3:uid="{00000000-0010-0000-0000-00000B000000}" name="What is one area you would want us to improve?" dataDxfId="18" totalsRowDxfId="1">
      <extLst>
        <ext xmlns:xlmsforms="http://schemas.microsoft.com/office/spreadsheetml/2023/msForms" uri="{FCC71383-01E1-4257-9335-427F07BE8D7F}">
          <xlmsforms:question id="r55c9169d0f3248838a3151645f0c35bf"/>
        </ext>
      </extLst>
    </tableColumn>
    <tableColumn id="12" xr3:uid="{00000000-0010-0000-0000-00000C000000}" name="What type of rewards would you like to see with a membership?" dataDxfId="17" totalsRowDxfId="0">
      <extLst>
        <ext xmlns:xlmsforms="http://schemas.microsoft.com/office/spreadsheetml/2023/msForms" uri="{FCC71383-01E1-4257-9335-427F07BE8D7F}">
          <xlmsforms:question id="rf3b5a7b9e51c4556b6a290c7682188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zgjNEIH1BRPmnxkpyXFHKJUQ1Y4UlRFUUo5QTQzRFBJRlVPQVc3VEI5OC4u" isFormConnected="1" maxResponseId="7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r238366a8c0184e7db2c83adc7ec32a33</xlmsforms:syncedQuestionId>
        <xlmsforms:syncedQuestionId>r4b8a7acbe2444138be335f8021b44c45</xlmsforms:syncedQuestionId>
        <xlmsforms:syncedQuestionId>r1f8e9e3e08884b20991bfd27c0928341</xlmsforms:syncedQuestionId>
        <xlmsforms:syncedQuestionId>r82a668a580134353848fcd2110f2043c</xlmsforms:syncedQuestionId>
        <xlmsforms:syncedQuestionId>r1f646248c1ad4bb7b18fede90d080c4c</xlmsforms:syncedQuestionId>
        <xlmsforms:syncedQuestionId>r55c9169d0f3248838a3151645f0c35bf</xlmsforms:syncedQuestionId>
        <xlmsforms:syncedQuestionId>rf3b5a7b9e51c4556b6a290c76821883c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C53A-9900-47C3-B8D0-1DF631031B8E}">
  <dimension ref="A3:B8"/>
  <sheetViews>
    <sheetView tabSelected="1" workbookViewId="0">
      <selection activeCell="H24" sqref="H24"/>
    </sheetView>
  </sheetViews>
  <sheetFormatPr defaultRowHeight="15" x14ac:dyDescent="0.25"/>
  <cols>
    <col min="1" max="1" width="21.7109375" bestFit="1" customWidth="1"/>
    <col min="2" max="2" width="38.42578125" bestFit="1" customWidth="1"/>
    <col min="3" max="3" width="51.5703125" bestFit="1" customWidth="1"/>
    <col min="4" max="4" width="21.7109375" bestFit="1" customWidth="1"/>
    <col min="5" max="5" width="11.28515625" bestFit="1" customWidth="1"/>
  </cols>
  <sheetData>
    <row r="3" spans="1:2" x14ac:dyDescent="0.25">
      <c r="A3" s="5" t="s">
        <v>29</v>
      </c>
      <c r="B3" t="s">
        <v>31</v>
      </c>
    </row>
    <row r="4" spans="1:2" x14ac:dyDescent="0.25">
      <c r="A4" s="6" t="s">
        <v>23</v>
      </c>
      <c r="B4" s="2">
        <v>2</v>
      </c>
    </row>
    <row r="5" spans="1:2" x14ac:dyDescent="0.25">
      <c r="A5" s="6" t="s">
        <v>13</v>
      </c>
      <c r="B5" s="2">
        <v>3</v>
      </c>
    </row>
    <row r="6" spans="1:2" x14ac:dyDescent="0.25">
      <c r="A6" s="6" t="s">
        <v>19</v>
      </c>
      <c r="B6" s="2">
        <v>1</v>
      </c>
    </row>
    <row r="7" spans="1:2" x14ac:dyDescent="0.25">
      <c r="A7" s="6" t="s">
        <v>27</v>
      </c>
      <c r="B7" s="2">
        <v>1</v>
      </c>
    </row>
    <row r="8" spans="1:2" x14ac:dyDescent="0.25">
      <c r="A8" s="6" t="s">
        <v>30</v>
      </c>
      <c r="B8" s="2">
        <v>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A2" sqref="A2"/>
    </sheetView>
  </sheetViews>
  <sheetFormatPr defaultRowHeight="15" x14ac:dyDescent="0.25"/>
  <cols>
    <col min="1" max="2" width="20" bestFit="1" customWidth="1"/>
    <col min="3" max="4" width="22" customWidth="1"/>
    <col min="5" max="6" width="20" bestFit="1" customWidth="1"/>
    <col min="7" max="7" width="21.5703125" customWidth="1"/>
    <col min="8" max="8" width="18.42578125" customWidth="1"/>
    <col min="9" max="12" width="20" bestFit="1" customWidth="1"/>
    <col min="13" max="13" width="30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s="1">
        <v>46314.445474537039</v>
      </c>
      <c r="C2" s="1">
        <v>46314.445787037039</v>
      </c>
      <c r="D2" s="3">
        <f t="shared" ref="D2:D8" si="0">C2-B2</f>
        <v>3.125000002910383E-4</v>
      </c>
      <c r="E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15</v>
      </c>
      <c r="L2" t="s">
        <v>17</v>
      </c>
      <c r="M2" t="s">
        <v>18</v>
      </c>
    </row>
    <row r="3" spans="1:13" x14ac:dyDescent="0.25">
      <c r="A3">
        <v>2</v>
      </c>
      <c r="B3" s="1">
        <v>46314.447893518518</v>
      </c>
      <c r="C3" s="1">
        <v>46314.448460648149</v>
      </c>
      <c r="D3" s="3">
        <f t="shared" si="0"/>
        <v>5.671296312357299E-4</v>
      </c>
      <c r="E3" t="s">
        <v>12</v>
      </c>
      <c r="G3" t="s">
        <v>19</v>
      </c>
      <c r="H3" t="s">
        <v>14</v>
      </c>
      <c r="I3" t="s">
        <v>16</v>
      </c>
      <c r="J3" t="s">
        <v>16</v>
      </c>
      <c r="K3" t="s">
        <v>16</v>
      </c>
      <c r="L3" t="s">
        <v>20</v>
      </c>
      <c r="M3" t="s">
        <v>21</v>
      </c>
    </row>
    <row r="4" spans="1:13" x14ac:dyDescent="0.25">
      <c r="A4">
        <v>3</v>
      </c>
      <c r="B4" s="1">
        <v>46314.459861111114</v>
      </c>
      <c r="C4" s="1">
        <v>46314.460092592592</v>
      </c>
      <c r="D4" s="3">
        <f t="shared" si="0"/>
        <v>2.3148147738538682E-4</v>
      </c>
      <c r="E4" t="s">
        <v>12</v>
      </c>
      <c r="G4" t="s">
        <v>13</v>
      </c>
      <c r="H4" t="s">
        <v>14</v>
      </c>
      <c r="I4" t="s">
        <v>16</v>
      </c>
      <c r="J4" t="s">
        <v>16</v>
      </c>
      <c r="K4" t="s">
        <v>16</v>
      </c>
      <c r="L4" t="s">
        <v>22</v>
      </c>
      <c r="M4" t="s">
        <v>18</v>
      </c>
    </row>
    <row r="5" spans="1:13" x14ac:dyDescent="0.25">
      <c r="A5">
        <v>4</v>
      </c>
      <c r="B5" s="1">
        <v>46314.459849537037</v>
      </c>
      <c r="C5" s="1">
        <v>46314.460092592592</v>
      </c>
      <c r="D5" s="3">
        <f t="shared" si="0"/>
        <v>2.4305555416503921E-4</v>
      </c>
      <c r="E5" t="s">
        <v>12</v>
      </c>
      <c r="G5" t="s">
        <v>23</v>
      </c>
      <c r="H5" t="s">
        <v>24</v>
      </c>
      <c r="I5" t="s">
        <v>15</v>
      </c>
      <c r="J5" t="s">
        <v>15</v>
      </c>
      <c r="K5" t="s">
        <v>15</v>
      </c>
      <c r="L5" t="s">
        <v>20</v>
      </c>
      <c r="M5" t="s">
        <v>25</v>
      </c>
    </row>
    <row r="6" spans="1:13" x14ac:dyDescent="0.25">
      <c r="A6">
        <v>5</v>
      </c>
      <c r="B6" s="1">
        <v>46314.466122685182</v>
      </c>
      <c r="C6" s="1">
        <v>46314.466400462959</v>
      </c>
      <c r="D6" s="3">
        <f t="shared" si="0"/>
        <v>2.7777777722803876E-4</v>
      </c>
      <c r="E6" t="s">
        <v>12</v>
      </c>
      <c r="G6" t="s">
        <v>23</v>
      </c>
      <c r="H6" t="s">
        <v>14</v>
      </c>
      <c r="I6" t="s">
        <v>15</v>
      </c>
      <c r="J6" t="s">
        <v>15</v>
      </c>
      <c r="K6" t="s">
        <v>15</v>
      </c>
      <c r="L6" t="s">
        <v>17</v>
      </c>
      <c r="M6" t="s">
        <v>18</v>
      </c>
    </row>
    <row r="7" spans="1:13" x14ac:dyDescent="0.25">
      <c r="A7">
        <v>6</v>
      </c>
      <c r="B7" s="1">
        <v>46314.515914351854</v>
      </c>
      <c r="C7" s="1">
        <v>46314.516631944447</v>
      </c>
      <c r="D7" s="3">
        <f t="shared" si="0"/>
        <v>7.1759259299142286E-4</v>
      </c>
      <c r="E7" t="s">
        <v>12</v>
      </c>
      <c r="G7" t="s">
        <v>13</v>
      </c>
      <c r="H7" t="s">
        <v>26</v>
      </c>
      <c r="I7" t="s">
        <v>15</v>
      </c>
      <c r="J7" t="s">
        <v>16</v>
      </c>
      <c r="K7" t="s">
        <v>16</v>
      </c>
      <c r="L7" t="s">
        <v>22</v>
      </c>
      <c r="M7" t="s">
        <v>25</v>
      </c>
    </row>
    <row r="8" spans="1:13" x14ac:dyDescent="0.25">
      <c r="A8">
        <v>7</v>
      </c>
      <c r="B8" s="1">
        <v>46314.551053240742</v>
      </c>
      <c r="C8" s="1">
        <v>46314.551319444443</v>
      </c>
      <c r="D8" s="3">
        <f t="shared" si="0"/>
        <v>2.6620370044838637E-4</v>
      </c>
      <c r="E8" t="s">
        <v>12</v>
      </c>
      <c r="G8" t="s">
        <v>27</v>
      </c>
      <c r="H8" t="s">
        <v>14</v>
      </c>
      <c r="I8" t="s">
        <v>16</v>
      </c>
      <c r="J8" t="s">
        <v>16</v>
      </c>
      <c r="K8" t="s">
        <v>16</v>
      </c>
      <c r="L8" t="s">
        <v>22</v>
      </c>
      <c r="M8" t="s">
        <v>21</v>
      </c>
    </row>
    <row r="9" spans="1:13" x14ac:dyDescent="0.25">
      <c r="A9" s="2"/>
      <c r="B9" s="1"/>
      <c r="C9" s="1"/>
      <c r="D9" s="3">
        <f>AVERAGE(D2:D8)</f>
        <v>3.7367724767786318E-4</v>
      </c>
      <c r="E9" s="4"/>
      <c r="F9" s="4"/>
      <c r="G9" s="2">
        <f>COUNTIF(G2:G8, "Daily")</f>
        <v>2</v>
      </c>
      <c r="H9" s="2">
        <f>COUNTIF(H2:H8, "Drinks")</f>
        <v>5</v>
      </c>
      <c r="I9" s="2" cm="1">
        <f t="array" ref="I9">AVERAGE(_xlfn.SWITCH(OfficeForms.Table[How satisfied are you with your experience here?], "Very satisfied", 4, "Satisfied", 3))</f>
        <v>3.5714285714285716</v>
      </c>
      <c r="J9" s="2" cm="1">
        <f t="array" ref="J9">AVERAGE(_xlfn.SWITCH(OfficeForms.Table[How satisfied are you with the drink quality?], "Very satisfied", 4, "Satisfied", 3))</f>
        <v>3.2857142857142856</v>
      </c>
      <c r="K9" s="2" cm="1">
        <f t="array" ref="K9">AVERAGE(_xlfn.SWITCH(OfficeForms.Table[How satisfied are you with the menu?], "Very satisfied", 4, "Satisfied", 3))</f>
        <v>3.4285714285714284</v>
      </c>
      <c r="L9" s="2"/>
      <c r="M9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timothy yip</cp:lastModifiedBy>
  <cp:revision/>
  <dcterms:created xsi:type="dcterms:W3CDTF">2026-10-27T06:08:32Z</dcterms:created>
  <dcterms:modified xsi:type="dcterms:W3CDTF">2026-10-27T06:49:46Z</dcterms:modified>
  <cp:category/>
  <cp:contentStatus/>
</cp:coreProperties>
</file>