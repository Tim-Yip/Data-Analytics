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ocuments\DataAnalytics\pre-week-2\"/>
    </mc:Choice>
  </mc:AlternateContent>
  <xr:revisionPtr revIDLastSave="0" documentId="13_ncr:1_{683C0CAA-F916-4D65-8432-E807A4466004}" xr6:coauthVersionLast="47" xr6:coauthVersionMax="47" xr10:uidLastSave="{00000000-0000-0000-0000-000000000000}"/>
  <bookViews>
    <workbookView xWindow="-38520" yWindow="-90" windowWidth="38640" windowHeight="21240" activeTab="1" xr2:uid="{BD6CACE5-E27E-4BE1-A8F7-D39FBEEA82EA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4" i="1"/>
  <c r="F6" i="1"/>
  <c r="F3" i="1"/>
  <c r="F2" i="1"/>
  <c r="E6" i="1"/>
  <c r="E5" i="1"/>
  <c r="E4" i="1"/>
  <c r="E3" i="1"/>
  <c r="E2" i="1"/>
  <c r="A12" i="1"/>
  <c r="A13" i="1"/>
  <c r="A3" i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<sst xmlns="http://schemas.openxmlformats.org/spreadsheetml/2006/main" count="15" uniqueCount="15">
  <si>
    <t>Store</t>
  </si>
  <si>
    <t>Monthly Sales</t>
  </si>
  <si>
    <t>Statistics</t>
  </si>
  <si>
    <t>Sales</t>
  </si>
  <si>
    <t>Mean</t>
  </si>
  <si>
    <t>Median</t>
  </si>
  <si>
    <t>Mode</t>
  </si>
  <si>
    <t>Range</t>
  </si>
  <si>
    <t>Standard Deviation</t>
  </si>
  <si>
    <t>Without H</t>
  </si>
  <si>
    <t>Average between all stores are about 49.</t>
  </si>
  <si>
    <t>The perfomance of all stores are tightly grouped other than store H.</t>
  </si>
  <si>
    <t>The value of store H does influence the results.</t>
  </si>
  <si>
    <t>Without the inforlmation on store H the results are more accurate.</t>
  </si>
  <si>
    <t xml:space="preserve">I would like to know why or how the monthly sales in store H is so much higher than the rest.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</si>
</sst>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1A08-9FEC-4C3B-BD7D-30600BFD5293}">
  <dimension ref="A1:F13"/>
  <sheetViews>
    <sheetView workbookViewId="0">
      <selection activeCell="F15" sqref="F15"/>
    </sheetView>
  </sheetViews>
  <sheetFormatPr defaultRowHeight="15" x14ac:dyDescent="0.25"/>
  <cols>
    <col min="2" max="2" width="18.28515625" customWidth="1"/>
    <col min="4" max="4" width="18.140625" customWidth="1"/>
  </cols>
  <sheetData>
    <row r="1" spans="1:6" x14ac:dyDescent="0.25">
      <c r="A1" t="s">
        <v>0</v>
      </c>
      <c r="B1" t="s">
        <v>1</v>
      </c>
      <c r="D1" t="s">
        <v>2</v>
      </c>
      <c r="E1" s="1" t="s">
        <v>3</v>
      </c>
      <c r="F1" s="1" t="s">
        <v>9</v>
      </c>
    </row>
    <row r="2" spans="1:6" x14ac:dyDescent="0.25">
      <c r="A2" t="str">
        <f>"Store "&amp;(CHAR(64+ROW(A1)))</f>
        <v>Store A</v>
      </c>
      <c r="B2">
        <v>51</v>
      </c>
      <c r="D2" t="s">
        <v>4</v>
      </c>
      <c r="E2" s="1">
        <f>AVERAGE(B2:B13)</f>
        <v>49.416666666666664</v>
      </c>
      <c r="F2" s="1">
        <f>AVERAGE(B2:B8,B10:B13)</f>
        <v>47.363636363636367</v>
      </c>
    </row>
    <row r="3" spans="1:6" x14ac:dyDescent="0.25">
      <c r="A3" t="str">
        <f t="shared" ref="A3:A13" si="0">"Store "&amp;(CHAR(64+ROW(A2)))</f>
        <v>Store B</v>
      </c>
      <c r="B3">
        <v>44</v>
      </c>
      <c r="D3" s="1" t="s">
        <v>5</v>
      </c>
      <c r="E3" s="2">
        <f>MEDIAN(B2:B13)</f>
        <v>47.5</v>
      </c>
      <c r="F3" s="2">
        <f>MEDIAN(B2:B8,B10:B13)</f>
        <v>47</v>
      </c>
    </row>
    <row r="4" spans="1:6" x14ac:dyDescent="0.25">
      <c r="A4" t="str">
        <f t="shared" si="0"/>
        <v>Store C</v>
      </c>
      <c r="B4">
        <v>49</v>
      </c>
      <c r="D4" t="s">
        <v>6</v>
      </c>
      <c r="E4" s="2">
        <f>MODE(B2:B13)</f>
        <v>46</v>
      </c>
      <c r="F4" s="2">
        <f>MODE(B2:B8,B10:B13)</f>
        <v>46</v>
      </c>
    </row>
    <row r="5" spans="1:6" x14ac:dyDescent="0.25">
      <c r="A5" t="str">
        <f t="shared" si="0"/>
        <v>Store D</v>
      </c>
      <c r="B5">
        <v>46</v>
      </c>
      <c r="D5" t="s">
        <v>7</v>
      </c>
      <c r="E5" s="2">
        <f>MAX(B2:B13)-MIN(B2:B13)</f>
        <v>29</v>
      </c>
      <c r="F5" s="2">
        <f>MAX(B2:B8,B10:B13)-MIN(B2:B8,B10:B13)</f>
        <v>9</v>
      </c>
    </row>
    <row r="6" spans="1:6" x14ac:dyDescent="0.25">
      <c r="A6" t="str">
        <f t="shared" si="0"/>
        <v>Store E</v>
      </c>
      <c r="B6">
        <v>52</v>
      </c>
      <c r="D6" t="s">
        <v>8</v>
      </c>
      <c r="E6" s="1">
        <f>STDEV(B2:B13)</f>
        <v>7.6331613054586773</v>
      </c>
      <c r="F6" s="1">
        <f>STDEV(B2:B8,B10:B13)</f>
        <v>2.9076701075853588</v>
      </c>
    </row>
    <row r="7" spans="1:6" x14ac:dyDescent="0.25">
      <c r="A7" t="str">
        <f t="shared" si="0"/>
        <v>Store F</v>
      </c>
      <c r="B7">
        <v>47</v>
      </c>
    </row>
    <row r="8" spans="1:6" x14ac:dyDescent="0.25">
      <c r="A8" t="str">
        <f t="shared" si="0"/>
        <v>Store G</v>
      </c>
      <c r="B8">
        <v>45</v>
      </c>
    </row>
    <row r="9" spans="1:6" x14ac:dyDescent="0.25">
      <c r="A9" t="str">
        <f t="shared" si="0"/>
        <v>Store H</v>
      </c>
      <c r="B9">
        <v>72</v>
      </c>
    </row>
    <row r="10" spans="1:6" x14ac:dyDescent="0.25">
      <c r="A10" t="str">
        <f t="shared" si="0"/>
        <v>Store I</v>
      </c>
      <c r="B10">
        <v>43</v>
      </c>
    </row>
    <row r="11" spans="1:6" x14ac:dyDescent="0.25">
      <c r="A11" t="str">
        <f t="shared" si="0"/>
        <v>Store J</v>
      </c>
      <c r="B11">
        <v>48</v>
      </c>
    </row>
    <row r="12" spans="1:6" x14ac:dyDescent="0.25">
      <c r="A12" t="str">
        <f>"Store "&amp;(CHAR(64+ROW(A11)))</f>
        <v>Store K</v>
      </c>
      <c r="B12">
        <v>46</v>
      </c>
    </row>
    <row r="13" spans="1:6" x14ac:dyDescent="0.25">
      <c r="A13" t="str">
        <f t="shared" si="0"/>
        <v>Store L</v>
      </c>
      <c r="B13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FAB2-CB83-4130-932E-809DF013F925}">
  <dimension ref="A1:A5"/>
  <sheetViews>
    <sheetView tabSelected="1" workbookViewId="0"/>
  </sheetViews>
  <sheetFormatPr defaultRowHeight="15" x14ac:dyDescent="0.25"/>
  <cols>
    <col min="1" max="1" width="82.28515625" customWidth="1"/>
  </cols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yip</dc:creator>
  <cp:lastModifiedBy>timothy yip</cp:lastModifiedBy>
  <dcterms:created xsi:type="dcterms:W3CDTF">2026-10-02T17:02:05Z</dcterms:created>
  <dcterms:modified xsi:type="dcterms:W3CDTF">2026-10-02T17:58:17Z</dcterms:modified>
</cp:coreProperties>
</file>